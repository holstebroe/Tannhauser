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chematic p31" sheetId="2" state="visible" r:id="rId2"/>
    <sheet xmlns:r="http://schemas.openxmlformats.org/officeDocument/2006/relationships" name="Revised p3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T51 preset matrix (channel I) — transcription, p.31 circuit + p.32 wiring</t>
        </is>
      </c>
    </row>
    <row r="2">
      <c r="A2" t="inlineStr">
        <is>
          <t>Bus drive voltage (V)</t>
        </is>
      </c>
      <c r="B2" s="2" t="n">
        <v>10</v>
      </c>
    </row>
    <row r="3">
      <c r="A3" t="inlineStr">
        <is>
          <t>Pull-down resistor (kΩ)</t>
        </is>
      </c>
      <c r="B3" s="2" t="n">
        <v>10</v>
      </c>
    </row>
    <row r="5">
      <c r="A5" t="inlineStr">
        <is>
          <t>Model (inference, not on the page): bus driven ~10 V by a BA emitter-follower when its tone button is pressed; each row line is pulled down by 10 kΩ to the slider rail; level ≈ 10 V × 10k/(R+10k) minus a diode drop. 'J' = diode only (full level). Blank = no connection.</t>
        </is>
      </c>
    </row>
    <row r="6">
      <c r="A6" t="inlineStr">
        <is>
          <t>Bus order A..F is the printed order (91..96 = BA-I1..I6). Assigned to buttons String 1, String 3, Brass 1, Flute, Electric Piano, Clavichord 1 — assignment unverified.</t>
        </is>
      </c>
    </row>
    <row r="7">
      <c r="A7" t="inlineStr">
        <is>
          <t>Sheet 'Schematic p31' = values as drawn on the circuit diagram (older revision: triangle marks flag later changes).</t>
        </is>
      </c>
    </row>
    <row r="8">
      <c r="A8" t="inlineStr">
        <is>
          <t>Sheet 'Revised p32' = values read from the wiring page, which prints 'new(old)'. Green cells = confirmed because the printed (old) value matches the schematic read. Unconfirmed rows: 1–8, 11 (A/F), 16, 24–26 kept as drawn or low confidence.</t>
        </is>
      </c>
    </row>
    <row r="9">
      <c r="A9" t="inlineStr">
        <is>
          <t>Row 12 bus E: drawn 8.2K (first read as 9.2K/3.2K); wiring page prints (8.2K).</t>
        </is>
      </c>
    </row>
    <row r="10">
      <c r="A10" t="inlineStr">
        <is>
          <t>Rows 25–26: triangle-marked special parts (extra resistor parallel at C25, double-diode symbols at A25/F25/E26/F26) not resolved.</t>
        </is>
      </c>
    </row>
    <row r="11">
      <c r="A11" t="inlineStr">
        <is>
          <t>Row names 1–22 are from the earlier slider map; 23–26 from the touch-sensitivity rows. Row 1 and row 6 are empty on this 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T51 as drawn (p.31)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>
        <is>
          <t>Bus F (R, kΩ)</t>
        </is>
      </c>
      <c r="I2" s="3" t="inlineStr"/>
      <c r="J2" s="3" t="inlineStr">
        <is>
          <t>A level (V)</t>
        </is>
      </c>
      <c r="K2" s="3" t="inlineStr">
        <is>
          <t>B level (V)</t>
        </is>
      </c>
      <c r="L2" s="3" t="inlineStr">
        <is>
          <t>C level (V)</t>
        </is>
      </c>
      <c r="M2" s="3" t="inlineStr">
        <is>
          <t>D level (V)</t>
        </is>
      </c>
      <c r="N2" s="3" t="inlineStr">
        <is>
          <t>E level (V)</t>
        </is>
      </c>
      <c r="O2" s="3" t="inlineStr">
        <is>
          <t>F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2" t="n"/>
      <c r="G3" s="2" t="n"/>
      <c r="H3" s="2" t="n"/>
      <c r="J3" s="4">
        <f>IF(C3="","",IF(C3="J",Notes!$B$2,Notes!$B$2*Notes!$B$3/(C3+Notes!$B$3)))</f>
        <v/>
      </c>
      <c r="K3" s="4">
        <f>IF(D3="","",IF(D3="J",Notes!$B$2,Notes!$B$2*Notes!$B$3/(D3+Notes!$B$3)))</f>
        <v/>
      </c>
      <c r="L3" s="4">
        <f>IF(E3="","",IF(E3="J",Notes!$B$2,Notes!$B$2*Notes!$B$3/(E3+Notes!$B$3)))</f>
        <v/>
      </c>
      <c r="M3" s="4">
        <f>IF(F3="","",IF(F3="J",Notes!$B$2,Notes!$B$2*Notes!$B$3/(F3+Notes!$B$3)))</f>
        <v/>
      </c>
      <c r="N3" s="4">
        <f>IF(G3="","",IF(G3="J",Notes!$B$2,Notes!$B$2*Notes!$B$3/(G3+Notes!$B$3)))</f>
        <v/>
      </c>
      <c r="O3" s="4">
        <f>IF(H3="","",IF(H3="J",Notes!$B$2,Notes!$B$2*Notes!$B$3/(H3+Notes!$B$3)))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2" t="n"/>
      <c r="G4" s="2" t="n">
        <v>150</v>
      </c>
      <c r="H4" s="2" t="n"/>
      <c r="J4" s="4">
        <f>IF(C4="","",IF(C4="J",Notes!$B$2,Notes!$B$2*Notes!$B$3/(C4+Notes!$B$3)))</f>
        <v/>
      </c>
      <c r="K4" s="4">
        <f>IF(D4="","",IF(D4="J",Notes!$B$2,Notes!$B$2*Notes!$B$3/(D4+Notes!$B$3)))</f>
        <v/>
      </c>
      <c r="L4" s="4">
        <f>IF(E4="","",IF(E4="J",Notes!$B$2,Notes!$B$2*Notes!$B$3/(E4+Notes!$B$3)))</f>
        <v/>
      </c>
      <c r="M4" s="4">
        <f>IF(F4="","",IF(F4="J",Notes!$B$2,Notes!$B$2*Notes!$B$3/(F4+Notes!$B$3)))</f>
        <v/>
      </c>
      <c r="N4" s="4">
        <f>IF(G4="","",IF(G4="J",Notes!$B$2,Notes!$B$2*Notes!$B$3/(G4+Notes!$B$3)))</f>
        <v/>
      </c>
      <c r="O4" s="4">
        <f>IF(H4="","",IF(H4="J",Notes!$B$2,Notes!$B$2*Notes!$B$3/(H4+Notes!$B$3)))</f>
        <v/>
      </c>
    </row>
    <row r="5">
      <c r="A5" t="n">
        <v>3</v>
      </c>
      <c r="B5" t="inlineStr">
        <is>
          <t>VR3 PW</t>
        </is>
      </c>
      <c r="C5" s="2" t="n"/>
      <c r="D5" s="2" t="n"/>
      <c r="E5" s="2" t="n"/>
      <c r="F5" s="2" t="n"/>
      <c r="G5" s="2" t="n">
        <v>20</v>
      </c>
      <c r="H5" s="2" t="n">
        <v>4.3</v>
      </c>
      <c r="J5" s="4">
        <f>IF(C5="","",IF(C5="J",Notes!$B$2,Notes!$B$2*Notes!$B$3/(C5+Notes!$B$3)))</f>
        <v/>
      </c>
      <c r="K5" s="4">
        <f>IF(D5="","",IF(D5="J",Notes!$B$2,Notes!$B$2*Notes!$B$3/(D5+Notes!$B$3)))</f>
        <v/>
      </c>
      <c r="L5" s="4">
        <f>IF(E5="","",IF(E5="J",Notes!$B$2,Notes!$B$2*Notes!$B$3/(E5+Notes!$B$3)))</f>
        <v/>
      </c>
      <c r="M5" s="4">
        <f>IF(F5="","",IF(F5="J",Notes!$B$2,Notes!$B$2*Notes!$B$3/(F5+Notes!$B$3)))</f>
        <v/>
      </c>
      <c r="N5" s="4">
        <f>IF(G5="","",IF(G5="J",Notes!$B$2,Notes!$B$2*Notes!$B$3/(G5+Notes!$B$3)))</f>
        <v/>
      </c>
      <c r="O5" s="4">
        <f>IF(H5="","",IF(H5="J",Notes!$B$2,Notes!$B$2*Notes!$B$3/(H5+Notes!$B$3)))</f>
        <v/>
      </c>
    </row>
    <row r="6">
      <c r="A6" t="n">
        <v>4</v>
      </c>
      <c r="B6" t="inlineStr">
        <is>
          <t>SW1 square</t>
        </is>
      </c>
      <c r="C6" s="2" t="n"/>
      <c r="D6" s="2" t="n"/>
      <c r="E6" s="2" t="n"/>
      <c r="F6" s="2" t="n"/>
      <c r="G6" s="2" t="inlineStr">
        <is>
          <t>J</t>
        </is>
      </c>
      <c r="H6" s="2" t="inlineStr">
        <is>
          <t>J</t>
        </is>
      </c>
      <c r="J6" s="4">
        <f>IF(C6="","",IF(C6="J",Notes!$B$2,Notes!$B$2*Notes!$B$3/(C6+Notes!$B$3)))</f>
        <v/>
      </c>
      <c r="K6" s="4">
        <f>IF(D6="","",IF(D6="J",Notes!$B$2,Notes!$B$2*Notes!$B$3/(D6+Notes!$B$3)))</f>
        <v/>
      </c>
      <c r="L6" s="4">
        <f>IF(E6="","",IF(E6="J",Notes!$B$2,Notes!$B$2*Notes!$B$3/(E6+Notes!$B$3)))</f>
        <v/>
      </c>
      <c r="M6" s="4">
        <f>IF(F6="","",IF(F6="J",Notes!$B$2,Notes!$B$2*Notes!$B$3/(F6+Notes!$B$3)))</f>
        <v/>
      </c>
      <c r="N6" s="4">
        <f>IF(G6="","",IF(G6="J",Notes!$B$2,Notes!$B$2*Notes!$B$3/(G6+Notes!$B$3)))</f>
        <v/>
      </c>
      <c r="O6" s="4">
        <f>IF(H6="","",IF(H6="J",Notes!$B$2,Notes!$B$2*Notes!$B$3/(H6+Notes!$B$3)))</f>
        <v/>
      </c>
    </row>
    <row r="7">
      <c r="A7" t="n">
        <v>5</v>
      </c>
      <c r="B7" t="inlineStr">
        <is>
          <t>SW2 saw/ramp</t>
        </is>
      </c>
      <c r="C7" s="2" t="inlineStr">
        <is>
          <t>J</t>
        </is>
      </c>
      <c r="D7" s="2" t="inlineStr">
        <is>
          <t>J</t>
        </is>
      </c>
      <c r="E7" s="2" t="inlineStr">
        <is>
          <t>J</t>
        </is>
      </c>
      <c r="F7" s="2" t="inlineStr">
        <is>
          <t>J</t>
        </is>
      </c>
      <c r="G7" s="2" t="n"/>
      <c r="H7" s="2" t="inlineStr">
        <is>
          <t>J</t>
        </is>
      </c>
      <c r="J7" s="4">
        <f>IF(C7="","",IF(C7="J",Notes!$B$2,Notes!$B$2*Notes!$B$3/(C7+Notes!$B$3)))</f>
        <v/>
      </c>
      <c r="K7" s="4">
        <f>IF(D7="","",IF(D7="J",Notes!$B$2,Notes!$B$2*Notes!$B$3/(D7+Notes!$B$3)))</f>
        <v/>
      </c>
      <c r="L7" s="4">
        <f>IF(E7="","",IF(E7="J",Notes!$B$2,Notes!$B$2*Notes!$B$3/(E7+Notes!$B$3)))</f>
        <v/>
      </c>
      <c r="M7" s="4">
        <f>IF(F7="","",IF(F7="J",Notes!$B$2,Notes!$B$2*Notes!$B$3/(F7+Notes!$B$3)))</f>
        <v/>
      </c>
      <c r="N7" s="4">
        <f>IF(G7="","",IF(G7="J",Notes!$B$2,Notes!$B$2*Notes!$B$3/(G7+Notes!$B$3)))</f>
        <v/>
      </c>
      <c r="O7" s="4">
        <f>IF(H7="","",IF(H7="J",Notes!$B$2,Notes!$B$2*Notes!$B$3/(H7+Notes!$B$3)))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H8" s="2" t="n"/>
      <c r="J8" s="4">
        <f>IF(C8="","",IF(C8="J",Notes!$B$2,Notes!$B$2*Notes!$B$3/(C8+Notes!$B$3)))</f>
        <v/>
      </c>
      <c r="K8" s="4">
        <f>IF(D8="","",IF(D8="J",Notes!$B$2,Notes!$B$2*Notes!$B$3/(D8+Notes!$B$3)))</f>
        <v/>
      </c>
      <c r="L8" s="4">
        <f>IF(E8="","",IF(E8="J",Notes!$B$2,Notes!$B$2*Notes!$B$3/(E8+Notes!$B$3)))</f>
        <v/>
      </c>
      <c r="M8" s="4">
        <f>IF(F8="","",IF(F8="J",Notes!$B$2,Notes!$B$2*Notes!$B$3/(F8+Notes!$B$3)))</f>
        <v/>
      </c>
      <c r="N8" s="4">
        <f>IF(G8="","",IF(G8="J",Notes!$B$2,Notes!$B$2*Notes!$B$3/(G8+Notes!$B$3)))</f>
        <v/>
      </c>
      <c r="O8" s="4">
        <f>IF(H8="","",IF(H8="J",Notes!$B$2,Notes!$B$2*Notes!$B$3/(H8+Notes!$B$3)))</f>
        <v/>
      </c>
    </row>
    <row r="9">
      <c r="A9" t="n">
        <v>7</v>
      </c>
      <c r="B9" t="inlineStr">
        <is>
          <t>HPF (BA fo1/fo3)</t>
        </is>
      </c>
      <c r="C9" s="2" t="n">
        <v>6.8</v>
      </c>
      <c r="D9" s="2" t="n"/>
      <c r="E9" s="2" t="n"/>
      <c r="F9" s="2" t="n">
        <v>5.1</v>
      </c>
      <c r="G9" s="2" t="n">
        <v>47</v>
      </c>
      <c r="H9" s="2" t="n">
        <v>6.2</v>
      </c>
      <c r="J9" s="4">
        <f>IF(C9="","",IF(C9="J",Notes!$B$2,Notes!$B$2*Notes!$B$3/(C9+Notes!$B$3)))</f>
        <v/>
      </c>
      <c r="K9" s="4">
        <f>IF(D9="","",IF(D9="J",Notes!$B$2,Notes!$B$2*Notes!$B$3/(D9+Notes!$B$3)))</f>
        <v/>
      </c>
      <c r="L9" s="4">
        <f>IF(E9="","",IF(E9="J",Notes!$B$2,Notes!$B$2*Notes!$B$3/(E9+Notes!$B$3)))</f>
        <v/>
      </c>
      <c r="M9" s="4">
        <f>IF(F9="","",IF(F9="J",Notes!$B$2,Notes!$B$2*Notes!$B$3/(F9+Notes!$B$3)))</f>
        <v/>
      </c>
      <c r="N9" s="4">
        <f>IF(G9="","",IF(G9="J",Notes!$B$2,Notes!$B$2*Notes!$B$3/(G9+Notes!$B$3)))</f>
        <v/>
      </c>
      <c r="O9" s="4">
        <f>IF(H9="","",IF(H9="J",Notes!$B$2,Notes!$B$2*Notes!$B$3/(H9+Notes!$B$3)))</f>
        <v/>
      </c>
    </row>
    <row r="10">
      <c r="A10" t="n">
        <v>8</v>
      </c>
      <c r="B10" t="inlineStr">
        <is>
          <t>VR6 RESH</t>
        </is>
      </c>
      <c r="C10" s="2" t="n">
        <v>5.6</v>
      </c>
      <c r="D10" s="2" t="inlineStr">
        <is>
          <t>J</t>
        </is>
      </c>
      <c r="E10" s="2" t="inlineStr">
        <is>
          <t>J</t>
        </is>
      </c>
      <c r="F10" s="2" t="n">
        <v>15</v>
      </c>
      <c r="G10" s="2" t="n">
        <v>4.7</v>
      </c>
      <c r="H10" s="2" t="n">
        <v>6.2</v>
      </c>
      <c r="J10" s="4">
        <f>IF(C10="","",IF(C10="J",Notes!$B$2,Notes!$B$2*Notes!$B$3/(C10+Notes!$B$3)))</f>
        <v/>
      </c>
      <c r="K10" s="4">
        <f>IF(D10="","",IF(D10="J",Notes!$B$2,Notes!$B$2*Notes!$B$3/(D10+Notes!$B$3)))</f>
        <v/>
      </c>
      <c r="L10" s="4">
        <f>IF(E10="","",IF(E10="J",Notes!$B$2,Notes!$B$2*Notes!$B$3/(E10+Notes!$B$3)))</f>
        <v/>
      </c>
      <c r="M10" s="4">
        <f>IF(F10="","",IF(F10="J",Notes!$B$2,Notes!$B$2*Notes!$B$3/(F10+Notes!$B$3)))</f>
        <v/>
      </c>
      <c r="N10" s="4">
        <f>IF(G10="","",IF(G10="J",Notes!$B$2,Notes!$B$2*Notes!$B$3/(G10+Notes!$B$3)))</f>
        <v/>
      </c>
      <c r="O10" s="4">
        <f>IF(H10="","",IF(H10="J",Notes!$B$2,Notes!$B$2*Notes!$B$3/(H10+Notes!$B$3)))</f>
        <v/>
      </c>
    </row>
    <row r="11">
      <c r="A11" t="n">
        <v>9</v>
      </c>
      <c r="B11" t="inlineStr">
        <is>
          <t>LPF (BA fo2/fo4)</t>
        </is>
      </c>
      <c r="C11" s="2" t="n">
        <v>1</v>
      </c>
      <c r="D11" s="2" t="inlineStr">
        <is>
          <t>J</t>
        </is>
      </c>
      <c r="E11" s="2" t="n">
        <v>5.1</v>
      </c>
      <c r="F11" s="2" t="n">
        <v>7.5</v>
      </c>
      <c r="G11" s="2" t="n">
        <v>33</v>
      </c>
      <c r="H11" s="2" t="n">
        <v>4.3</v>
      </c>
      <c r="J11" s="4">
        <f>IF(C11="","",IF(C11="J",Notes!$B$2,Notes!$B$2*Notes!$B$3/(C11+Notes!$B$3)))</f>
        <v/>
      </c>
      <c r="K11" s="4">
        <f>IF(D11="","",IF(D11="J",Notes!$B$2,Notes!$B$2*Notes!$B$3/(D11+Notes!$B$3)))</f>
        <v/>
      </c>
      <c r="L11" s="4">
        <f>IF(E11="","",IF(E11="J",Notes!$B$2,Notes!$B$2*Notes!$B$3/(E11+Notes!$B$3)))</f>
        <v/>
      </c>
      <c r="M11" s="4">
        <f>IF(F11="","",IF(F11="J",Notes!$B$2,Notes!$B$2*Notes!$B$3/(F11+Notes!$B$3)))</f>
        <v/>
      </c>
      <c r="N11" s="4">
        <f>IF(G11="","",IF(G11="J",Notes!$B$2,Notes!$B$2*Notes!$B$3/(G11+Notes!$B$3)))</f>
        <v/>
      </c>
      <c r="O11" s="4">
        <f>IF(H11="","",IF(H11="J",Notes!$B$2,Notes!$B$2*Notes!$B$3/(H11+Notes!$B$3)))</f>
        <v/>
      </c>
    </row>
    <row r="12">
      <c r="A12" t="n">
        <v>10</v>
      </c>
      <c r="B12" t="inlineStr">
        <is>
          <t>VR8 RESL</t>
        </is>
      </c>
      <c r="C12" s="2" t="inlineStr">
        <is>
          <t>J</t>
        </is>
      </c>
      <c r="D12" s="2" t="inlineStr">
        <is>
          <t>J</t>
        </is>
      </c>
      <c r="E12" s="2" t="n">
        <v>6.8</v>
      </c>
      <c r="F12" s="2" t="n">
        <v>30</v>
      </c>
      <c r="G12" s="2" t="n">
        <v>12</v>
      </c>
      <c r="H12" s="2" t="n">
        <v>10</v>
      </c>
      <c r="J12" s="4">
        <f>IF(C12="","",IF(C12="J",Notes!$B$2,Notes!$B$2*Notes!$B$3/(C12+Notes!$B$3)))</f>
        <v/>
      </c>
      <c r="K12" s="4">
        <f>IF(D12="","",IF(D12="J",Notes!$B$2,Notes!$B$2*Notes!$B$3/(D12+Notes!$B$3)))</f>
        <v/>
      </c>
      <c r="L12" s="4">
        <f>IF(E12="","",IF(E12="J",Notes!$B$2,Notes!$B$2*Notes!$B$3/(E12+Notes!$B$3)))</f>
        <v/>
      </c>
      <c r="M12" s="4">
        <f>IF(F12="","",IF(F12="J",Notes!$B$2,Notes!$B$2*Notes!$B$3/(F12+Notes!$B$3)))</f>
        <v/>
      </c>
      <c r="N12" s="4">
        <f>IF(G12="","",IF(G12="J",Notes!$B$2,Notes!$B$2*Notes!$B$3/(G12+Notes!$B$3)))</f>
        <v/>
      </c>
      <c r="O12" s="4">
        <f>IF(H12="","",IF(H12="J",Notes!$B$2,Notes!$B$2*Notes!$B$3/(H12+Notes!$B$3)))</f>
        <v/>
      </c>
    </row>
    <row r="13">
      <c r="A13" t="n">
        <v>11</v>
      </c>
      <c r="B13" t="inlineStr">
        <is>
          <t>VR9 IL</t>
        </is>
      </c>
      <c r="C13" s="2" t="n">
        <v>16</v>
      </c>
      <c r="D13" s="2" t="n"/>
      <c r="E13" s="2" t="n">
        <v>43</v>
      </c>
      <c r="F13" s="2" t="n">
        <v>9.1</v>
      </c>
      <c r="G13" s="2" t="n"/>
      <c r="H13" s="2" t="n"/>
      <c r="J13" s="4">
        <f>IF(C13="","",IF(C13="J",Notes!$B$2,Notes!$B$2*Notes!$B$3/(C13+Notes!$B$3)))</f>
        <v/>
      </c>
      <c r="K13" s="4">
        <f>IF(D13="","",IF(D13="J",Notes!$B$2,Notes!$B$2*Notes!$B$3/(D13+Notes!$B$3)))</f>
        <v/>
      </c>
      <c r="L13" s="4">
        <f>IF(E13="","",IF(E13="J",Notes!$B$2,Notes!$B$2*Notes!$B$3/(E13+Notes!$B$3)))</f>
        <v/>
      </c>
      <c r="M13" s="4">
        <f>IF(F13="","",IF(F13="J",Notes!$B$2,Notes!$B$2*Notes!$B$3/(F13+Notes!$B$3)))</f>
        <v/>
      </c>
      <c r="N13" s="4">
        <f>IF(G13="","",IF(G13="J",Notes!$B$2,Notes!$B$2*Notes!$B$3/(G13+Notes!$B$3)))</f>
        <v/>
      </c>
      <c r="O13" s="4">
        <f>IF(H13="","",IF(H13="J",Notes!$B$2,Notes!$B$2*Notes!$B$3/(H13+Notes!$B$3)))</f>
        <v/>
      </c>
    </row>
    <row r="14">
      <c r="A14" t="n">
        <v>12</v>
      </c>
      <c r="B14" t="inlineStr">
        <is>
          <t>VR10 AL</t>
        </is>
      </c>
      <c r="C14" s="2" t="n">
        <v>3.6</v>
      </c>
      <c r="D14" s="2" t="n">
        <v>5.1</v>
      </c>
      <c r="E14" s="2" t="n">
        <v>13</v>
      </c>
      <c r="F14" s="2" t="n">
        <v>130</v>
      </c>
      <c r="G14" s="2" t="n">
        <v>8.199999999999999</v>
      </c>
      <c r="H14" s="2" t="n">
        <v>10</v>
      </c>
      <c r="J14" s="4">
        <f>IF(C14="","",IF(C14="J",Notes!$B$2,Notes!$B$2*Notes!$B$3/(C14+Notes!$B$3)))</f>
        <v/>
      </c>
      <c r="K14" s="4">
        <f>IF(D14="","",IF(D14="J",Notes!$B$2,Notes!$B$2*Notes!$B$3/(D14+Notes!$B$3)))</f>
        <v/>
      </c>
      <c r="L14" s="4">
        <f>IF(E14="","",IF(E14="J",Notes!$B$2,Notes!$B$2*Notes!$B$3/(E14+Notes!$B$3)))</f>
        <v/>
      </c>
      <c r="M14" s="4">
        <f>IF(F14="","",IF(F14="J",Notes!$B$2,Notes!$B$2*Notes!$B$3/(F14+Notes!$B$3)))</f>
        <v/>
      </c>
      <c r="N14" s="4">
        <f>IF(G14="","",IF(G14="J",Notes!$B$2,Notes!$B$2*Notes!$B$3/(G14+Notes!$B$3)))</f>
        <v/>
      </c>
      <c r="O14" s="4">
        <f>IF(H14="","",IF(H14="J",Notes!$B$2,Notes!$B$2*Notes!$B$3/(H14+Notes!$B$3)))</f>
        <v/>
      </c>
    </row>
    <row r="15">
      <c r="A15" t="n">
        <v>13</v>
      </c>
      <c r="B15" t="inlineStr">
        <is>
          <t>VR11 A</t>
        </is>
      </c>
      <c r="C15" s="2" t="n">
        <v>30</v>
      </c>
      <c r="D15" s="2" t="n">
        <v>75</v>
      </c>
      <c r="E15" s="2" t="n">
        <v>62</v>
      </c>
      <c r="F15" s="2" t="n">
        <v>18</v>
      </c>
      <c r="G15" s="2" t="inlineStr">
        <is>
          <t>J</t>
        </is>
      </c>
      <c r="H15" s="2" t="inlineStr">
        <is>
          <t>J</t>
        </is>
      </c>
      <c r="J15" s="4">
        <f>IF(C15="","",IF(C15="J",Notes!$B$2,Notes!$B$2*Notes!$B$3/(C15+Notes!$B$3)))</f>
        <v/>
      </c>
      <c r="K15" s="4">
        <f>IF(D15="","",IF(D15="J",Notes!$B$2,Notes!$B$2*Notes!$B$3/(D15+Notes!$B$3)))</f>
        <v/>
      </c>
      <c r="L15" s="4">
        <f>IF(E15="","",IF(E15="J",Notes!$B$2,Notes!$B$2*Notes!$B$3/(E15+Notes!$B$3)))</f>
        <v/>
      </c>
      <c r="M15" s="4">
        <f>IF(F15="","",IF(F15="J",Notes!$B$2,Notes!$B$2*Notes!$B$3/(F15+Notes!$B$3)))</f>
        <v/>
      </c>
      <c r="N15" s="4">
        <f>IF(G15="","",IF(G15="J",Notes!$B$2,Notes!$B$2*Notes!$B$3/(G15+Notes!$B$3)))</f>
        <v/>
      </c>
      <c r="O15" s="4">
        <f>IF(H15="","",IF(H15="J",Notes!$B$2,Notes!$B$2*Notes!$B$3/(H15+Notes!$B$3)))</f>
        <v/>
      </c>
    </row>
    <row r="16">
      <c r="A16" t="n">
        <v>14</v>
      </c>
      <c r="B16" t="inlineStr">
        <is>
          <t>VR12 D</t>
        </is>
      </c>
      <c r="C16" s="2" t="n">
        <v>12</v>
      </c>
      <c r="D16" s="2" t="n">
        <v>39</v>
      </c>
      <c r="E16" s="2" t="n">
        <v>51</v>
      </c>
      <c r="F16" s="2" t="n">
        <v>51</v>
      </c>
      <c r="G16" s="2" t="n">
        <v>18</v>
      </c>
      <c r="H16" s="2" t="n">
        <v>33</v>
      </c>
      <c r="J16" s="4">
        <f>IF(C16="","",IF(C16="J",Notes!$B$2,Notes!$B$2*Notes!$B$3/(C16+Notes!$B$3)))</f>
        <v/>
      </c>
      <c r="K16" s="4">
        <f>IF(D16="","",IF(D16="J",Notes!$B$2,Notes!$B$2*Notes!$B$3/(D16+Notes!$B$3)))</f>
        <v/>
      </c>
      <c r="L16" s="4">
        <f>IF(E16="","",IF(E16="J",Notes!$B$2,Notes!$B$2*Notes!$B$3/(E16+Notes!$B$3)))</f>
        <v/>
      </c>
      <c r="M16" s="4">
        <f>IF(F16="","",IF(F16="J",Notes!$B$2,Notes!$B$2*Notes!$B$3/(F16+Notes!$B$3)))</f>
        <v/>
      </c>
      <c r="N16" s="4">
        <f>IF(G16="","",IF(G16="J",Notes!$B$2,Notes!$B$2*Notes!$B$3/(G16+Notes!$B$3)))</f>
        <v/>
      </c>
      <c r="O16" s="4">
        <f>IF(H16="","",IF(H16="J",Notes!$B$2,Notes!$B$2*Notes!$B$3/(H16+Notes!$B$3)))</f>
        <v/>
      </c>
    </row>
    <row r="17">
      <c r="A17" t="n">
        <v>15</v>
      </c>
      <c r="B17" t="inlineStr">
        <is>
          <t>VR13 R</t>
        </is>
      </c>
      <c r="C17" s="2" t="n">
        <v>1.2</v>
      </c>
      <c r="D17" s="2" t="n">
        <v>11</v>
      </c>
      <c r="E17" s="2" t="inlineStr">
        <is>
          <t>J</t>
        </is>
      </c>
      <c r="F17" s="2" t="n">
        <v>3.6</v>
      </c>
      <c r="G17" s="2" t="inlineStr">
        <is>
          <t>J</t>
        </is>
      </c>
      <c r="H17" s="2" t="n">
        <v>3.3</v>
      </c>
      <c r="J17" s="4">
        <f>IF(C17="","",IF(C17="J",Notes!$B$2,Notes!$B$2*Notes!$B$3/(C17+Notes!$B$3)))</f>
        <v/>
      </c>
      <c r="K17" s="4">
        <f>IF(D17="","",IF(D17="J",Notes!$B$2,Notes!$B$2*Notes!$B$3/(D17+Notes!$B$3)))</f>
        <v/>
      </c>
      <c r="L17" s="4">
        <f>IF(E17="","",IF(E17="J",Notes!$B$2,Notes!$B$2*Notes!$B$3/(E17+Notes!$B$3)))</f>
        <v/>
      </c>
      <c r="M17" s="4">
        <f>IF(F17="","",IF(F17="J",Notes!$B$2,Notes!$B$2*Notes!$B$3/(F17+Notes!$B$3)))</f>
        <v/>
      </c>
      <c r="N17" s="4">
        <f>IF(G17="","",IF(G17="J",Notes!$B$2,Notes!$B$2*Notes!$B$3/(G17+Notes!$B$3)))</f>
        <v/>
      </c>
      <c r="O17" s="4">
        <f>IF(H17="","",IF(H17="J",Notes!$B$2,Notes!$B$2*Notes!$B$3/(H17+Notes!$B$3)))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H18" s="2" t="inlineStr">
        <is>
          <t>J</t>
        </is>
      </c>
      <c r="J18" s="4">
        <f>IF(C18="","",IF(C18="J",Notes!$B$2,Notes!$B$2*Notes!$B$3/(C18+Notes!$B$3)))</f>
        <v/>
      </c>
      <c r="K18" s="4">
        <f>IF(D18="","",IF(D18="J",Notes!$B$2,Notes!$B$2*Notes!$B$3/(D18+Notes!$B$3)))</f>
        <v/>
      </c>
      <c r="L18" s="4">
        <f>IF(E18="","",IF(E18="J",Notes!$B$2,Notes!$B$2*Notes!$B$3/(E18+Notes!$B$3)))</f>
        <v/>
      </c>
      <c r="M18" s="4">
        <f>IF(F18="","",IF(F18="J",Notes!$B$2,Notes!$B$2*Notes!$B$3/(F18+Notes!$B$3)))</f>
        <v/>
      </c>
      <c r="N18" s="4">
        <f>IF(G18="","",IF(G18="J",Notes!$B$2,Notes!$B$2*Notes!$B$3/(G18+Notes!$B$3)))</f>
        <v/>
      </c>
      <c r="O18" s="4">
        <f>IF(H18="","",IF(H18="J",Notes!$B$2,Notes!$B$2*Notes!$B$3/(H18+Notes!$B$3)))</f>
        <v/>
      </c>
    </row>
    <row r="19">
      <c r="A19" t="n">
        <v>17</v>
      </c>
      <c r="B19" t="inlineStr">
        <is>
          <t>VR15 wave symbol</t>
        </is>
      </c>
      <c r="C19" s="2" t="n">
        <v>220</v>
      </c>
      <c r="D19" s="2" t="n"/>
      <c r="E19" s="2" t="n">
        <v>220</v>
      </c>
      <c r="F19" s="2" t="n"/>
      <c r="G19" s="2" t="n">
        <v>10</v>
      </c>
      <c r="H19" s="2" t="n"/>
      <c r="J19" s="4">
        <f>IF(C19="","",IF(C19="J",Notes!$B$2,Notes!$B$2*Notes!$B$3/(C19+Notes!$B$3)))</f>
        <v/>
      </c>
      <c r="K19" s="4">
        <f>IF(D19="","",IF(D19="J",Notes!$B$2,Notes!$B$2*Notes!$B$3/(D19+Notes!$B$3)))</f>
        <v/>
      </c>
      <c r="L19" s="4">
        <f>IF(E19="","",IF(E19="J",Notes!$B$2,Notes!$B$2*Notes!$B$3/(E19+Notes!$B$3)))</f>
        <v/>
      </c>
      <c r="M19" s="4">
        <f>IF(F19="","",IF(F19="J",Notes!$B$2,Notes!$B$2*Notes!$B$3/(F19+Notes!$B$3)))</f>
        <v/>
      </c>
      <c r="N19" s="4">
        <f>IF(G19="","",IF(G19="J",Notes!$B$2,Notes!$B$2*Notes!$B$3/(G19+Notes!$B$3)))</f>
        <v/>
      </c>
      <c r="O19" s="4">
        <f>IF(H19="","",IF(H19="J",Notes!$B$2,Notes!$B$2*Notes!$B$3/(H19+Notes!$B$3)))</f>
        <v/>
      </c>
    </row>
    <row r="20">
      <c r="A20" t="n">
        <v>18</v>
      </c>
      <c r="B20" t="inlineStr">
        <is>
          <t>VR16 A</t>
        </is>
      </c>
      <c r="C20" s="2" t="n">
        <v>62</v>
      </c>
      <c r="D20" s="2" t="n">
        <v>150</v>
      </c>
      <c r="E20" s="2" t="n">
        <v>8.199999999999999</v>
      </c>
      <c r="F20" s="2" t="n">
        <v>22</v>
      </c>
      <c r="G20" s="2" t="n">
        <v>3.3</v>
      </c>
      <c r="H20" s="2" t="inlineStr">
        <is>
          <t>J</t>
        </is>
      </c>
      <c r="J20" s="4">
        <f>IF(C20="","",IF(C20="J",Notes!$B$2,Notes!$B$2*Notes!$B$3/(C20+Notes!$B$3)))</f>
        <v/>
      </c>
      <c r="K20" s="4">
        <f>IF(D20="","",IF(D20="J",Notes!$B$2,Notes!$B$2*Notes!$B$3/(D20+Notes!$B$3)))</f>
        <v/>
      </c>
      <c r="L20" s="4">
        <f>IF(E20="","",IF(E20="J",Notes!$B$2,Notes!$B$2*Notes!$B$3/(E20+Notes!$B$3)))</f>
        <v/>
      </c>
      <c r="M20" s="4">
        <f>IF(F20="","",IF(F20="J",Notes!$B$2,Notes!$B$2*Notes!$B$3/(F20+Notes!$B$3)))</f>
        <v/>
      </c>
      <c r="N20" s="4">
        <f>IF(G20="","",IF(G20="J",Notes!$B$2,Notes!$B$2*Notes!$B$3/(G20+Notes!$B$3)))</f>
        <v/>
      </c>
      <c r="O20" s="4">
        <f>IF(H20="","",IF(H20="J",Notes!$B$2,Notes!$B$2*Notes!$B$3/(H20+Notes!$B$3)))</f>
        <v/>
      </c>
    </row>
    <row r="21">
      <c r="A21" t="n">
        <v>19</v>
      </c>
      <c r="B21" t="inlineStr">
        <is>
          <t>VR17 D</t>
        </is>
      </c>
      <c r="C21" s="2" t="n">
        <v>82</v>
      </c>
      <c r="D21" s="2" t="n"/>
      <c r="E21" s="2" t="n">
        <v>39</v>
      </c>
      <c r="F21" s="2" t="n"/>
      <c r="G21" s="2" t="n">
        <v>36</v>
      </c>
      <c r="H21" s="2" t="n">
        <v>20</v>
      </c>
      <c r="J21" s="4">
        <f>IF(C21="","",IF(C21="J",Notes!$B$2,Notes!$B$2*Notes!$B$3/(C21+Notes!$B$3)))</f>
        <v/>
      </c>
      <c r="K21" s="4">
        <f>IF(D21="","",IF(D21="J",Notes!$B$2,Notes!$B$2*Notes!$B$3/(D21+Notes!$B$3)))</f>
        <v/>
      </c>
      <c r="L21" s="4">
        <f>IF(E21="","",IF(E21="J",Notes!$B$2,Notes!$B$2*Notes!$B$3/(E21+Notes!$B$3)))</f>
        <v/>
      </c>
      <c r="M21" s="4">
        <f>IF(F21="","",IF(F21="J",Notes!$B$2,Notes!$B$2*Notes!$B$3/(F21+Notes!$B$3)))</f>
        <v/>
      </c>
      <c r="N21" s="4">
        <f>IF(G21="","",IF(G21="J",Notes!$B$2,Notes!$B$2*Notes!$B$3/(G21+Notes!$B$3)))</f>
        <v/>
      </c>
      <c r="O21" s="4">
        <f>IF(H21="","",IF(H21="J",Notes!$B$2,Notes!$B$2*Notes!$B$3/(H21+Notes!$B$3)))</f>
        <v/>
      </c>
    </row>
    <row r="22">
      <c r="A22" t="n">
        <v>20</v>
      </c>
      <c r="B22" t="inlineStr">
        <is>
          <t>VR18 S</t>
        </is>
      </c>
      <c r="C22" s="2" t="n">
        <v>1.2</v>
      </c>
      <c r="D22" s="2" t="n">
        <v>7.5</v>
      </c>
      <c r="E22" s="2" t="n">
        <v>6.2</v>
      </c>
      <c r="F22" s="2" t="n">
        <v>9.1</v>
      </c>
      <c r="G22" s="2" t="n">
        <v>160</v>
      </c>
      <c r="H22" s="2" t="n">
        <v>68</v>
      </c>
      <c r="J22" s="4">
        <f>IF(C22="","",IF(C22="J",Notes!$B$2,Notes!$B$2*Notes!$B$3/(C22+Notes!$B$3)))</f>
        <v/>
      </c>
      <c r="K22" s="4">
        <f>IF(D22="","",IF(D22="J",Notes!$B$2,Notes!$B$2*Notes!$B$3/(D22+Notes!$B$3)))</f>
        <v/>
      </c>
      <c r="L22" s="4">
        <f>IF(E22="","",IF(E22="J",Notes!$B$2,Notes!$B$2*Notes!$B$3/(E22+Notes!$B$3)))</f>
        <v/>
      </c>
      <c r="M22" s="4">
        <f>IF(F22="","",IF(F22="J",Notes!$B$2,Notes!$B$2*Notes!$B$3/(F22+Notes!$B$3)))</f>
        <v/>
      </c>
      <c r="N22" s="4">
        <f>IF(G22="","",IF(G22="J",Notes!$B$2,Notes!$B$2*Notes!$B$3/(G22+Notes!$B$3)))</f>
        <v/>
      </c>
      <c r="O22" s="4">
        <f>IF(H22="","",IF(H22="J",Notes!$B$2,Notes!$B$2*Notes!$B$3/(H22+Notes!$B$3)))</f>
        <v/>
      </c>
    </row>
    <row r="23">
      <c r="A23" t="n">
        <v>21</v>
      </c>
      <c r="B23" t="inlineStr">
        <is>
          <t>VR19 R</t>
        </is>
      </c>
      <c r="C23" s="2" t="n">
        <v>1.3</v>
      </c>
      <c r="D23" s="2" t="n">
        <v>9.1</v>
      </c>
      <c r="E23" s="2" t="inlineStr">
        <is>
          <t>J</t>
        </is>
      </c>
      <c r="F23" s="2" t="n">
        <v>3.9</v>
      </c>
      <c r="G23" s="2" t="n">
        <v>5.6</v>
      </c>
      <c r="H23" s="2" t="inlineStr">
        <is>
          <t>J</t>
        </is>
      </c>
      <c r="J23" s="4">
        <f>IF(C23="","",IF(C23="J",Notes!$B$2,Notes!$B$2*Notes!$B$3/(C23+Notes!$B$3)))</f>
        <v/>
      </c>
      <c r="K23" s="4">
        <f>IF(D23="","",IF(D23="J",Notes!$B$2,Notes!$B$2*Notes!$B$3/(D23+Notes!$B$3)))</f>
        <v/>
      </c>
      <c r="L23" s="4">
        <f>IF(E23="","",IF(E23="J",Notes!$B$2,Notes!$B$2*Notes!$B$3/(E23+Notes!$B$3)))</f>
        <v/>
      </c>
      <c r="M23" s="4">
        <f>IF(F23="","",IF(F23="J",Notes!$B$2,Notes!$B$2*Notes!$B$3/(F23+Notes!$B$3)))</f>
        <v/>
      </c>
      <c r="N23" s="4">
        <f>IF(G23="","",IF(G23="J",Notes!$B$2,Notes!$B$2*Notes!$B$3/(G23+Notes!$B$3)))</f>
        <v/>
      </c>
      <c r="O23" s="4">
        <f>IF(H23="","",IF(H23="J",Notes!$B$2,Notes!$B$2*Notes!$B$3/(H23+Notes!$B$3)))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2" t="inlineStr">
        <is>
          <t>J</t>
        </is>
      </c>
      <c r="E24" s="2" t="inlineStr">
        <is>
          <t>J</t>
        </is>
      </c>
      <c r="F24" s="2" t="inlineStr">
        <is>
          <t>J</t>
        </is>
      </c>
      <c r="G24" s="2" t="n">
        <v>12</v>
      </c>
      <c r="H24" s="2" t="n">
        <v>3.6</v>
      </c>
      <c r="J24" s="4">
        <f>IF(C24="","",IF(C24="J",Notes!$B$2,Notes!$B$2*Notes!$B$3/(C24+Notes!$B$3)))</f>
        <v/>
      </c>
      <c r="K24" s="4">
        <f>IF(D24="","",IF(D24="J",Notes!$B$2,Notes!$B$2*Notes!$B$3/(D24+Notes!$B$3)))</f>
        <v/>
      </c>
      <c r="L24" s="4">
        <f>IF(E24="","",IF(E24="J",Notes!$B$2,Notes!$B$2*Notes!$B$3/(E24+Notes!$B$3)))</f>
        <v/>
      </c>
      <c r="M24" s="4">
        <f>IF(F24="","",IF(F24="J",Notes!$B$2,Notes!$B$2*Notes!$B$3/(F24+Notes!$B$3)))</f>
        <v/>
      </c>
      <c r="N24" s="4">
        <f>IF(G24="","",IF(G24="J",Notes!$B$2,Notes!$B$2*Notes!$B$3/(G24+Notes!$B$3)))</f>
        <v/>
      </c>
      <c r="O24" s="4">
        <f>IF(H24="","",IF(H24="J",Notes!$B$2,Notes!$B$2*Notes!$B$3/(H24+Notes!$B$3)))</f>
        <v/>
      </c>
    </row>
    <row r="25">
      <c r="A25" t="n">
        <v>23</v>
      </c>
      <c r="B25" t="inlineStr">
        <is>
          <t>VR21 touch: init brilliance</t>
        </is>
      </c>
      <c r="C25" s="2" t="n">
        <v>12</v>
      </c>
      <c r="D25" s="2" t="n">
        <v>18</v>
      </c>
      <c r="E25" s="2" t="n">
        <v>18</v>
      </c>
      <c r="F25" s="2" t="n">
        <v>62</v>
      </c>
      <c r="G25" s="2" t="n">
        <v>15</v>
      </c>
      <c r="H25" s="2" t="n">
        <v>82</v>
      </c>
      <c r="J25" s="4">
        <f>IF(C25="","",IF(C25="J",Notes!$B$2,Notes!$B$2*Notes!$B$3/(C25+Notes!$B$3)))</f>
        <v/>
      </c>
      <c r="K25" s="4">
        <f>IF(D25="","",IF(D25="J",Notes!$B$2,Notes!$B$2*Notes!$B$3/(D25+Notes!$B$3)))</f>
        <v/>
      </c>
      <c r="L25" s="4">
        <f>IF(E25="","",IF(E25="J",Notes!$B$2,Notes!$B$2*Notes!$B$3/(E25+Notes!$B$3)))</f>
        <v/>
      </c>
      <c r="M25" s="4">
        <f>IF(F25="","",IF(F25="J",Notes!$B$2,Notes!$B$2*Notes!$B$3/(F25+Notes!$B$3)))</f>
        <v/>
      </c>
      <c r="N25" s="4">
        <f>IF(G25="","",IF(G25="J",Notes!$B$2,Notes!$B$2*Notes!$B$3/(G25+Notes!$B$3)))</f>
        <v/>
      </c>
      <c r="O25" s="4">
        <f>IF(H25="","",IF(H25="J",Notes!$B$2,Notes!$B$2*Notes!$B$3/(H25+Notes!$B$3)))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H26" s="2" t="inlineStr">
        <is>
          <t>J</t>
        </is>
      </c>
      <c r="J26" s="4">
        <f>IF(C26="","",IF(C26="J",Notes!$B$2,Notes!$B$2*Notes!$B$3/(C26+Notes!$B$3)))</f>
        <v/>
      </c>
      <c r="K26" s="4">
        <f>IF(D26="","",IF(D26="J",Notes!$B$2,Notes!$B$2*Notes!$B$3/(D26+Notes!$B$3)))</f>
        <v/>
      </c>
      <c r="L26" s="4">
        <f>IF(E26="","",IF(E26="J",Notes!$B$2,Notes!$B$2*Notes!$B$3/(E26+Notes!$B$3)))</f>
        <v/>
      </c>
      <c r="M26" s="4">
        <f>IF(F26="","",IF(F26="J",Notes!$B$2,Notes!$B$2*Notes!$B$3/(F26+Notes!$B$3)))</f>
        <v/>
      </c>
      <c r="N26" s="4">
        <f>IF(G26="","",IF(G26="J",Notes!$B$2,Notes!$B$2*Notes!$B$3/(G26+Notes!$B$3)))</f>
        <v/>
      </c>
      <c r="O26" s="4">
        <f>IF(H26="","",IF(H26="J",Notes!$B$2,Notes!$B$2*Notes!$B$3/(H26+Notes!$B$3)))</f>
        <v/>
      </c>
    </row>
    <row r="27">
      <c r="A27" t="n">
        <v>25</v>
      </c>
      <c r="B27" t="inlineStr">
        <is>
          <t>VR23 touch: after brilliance</t>
        </is>
      </c>
      <c r="C27" s="2" t="inlineStr">
        <is>
          <t>J</t>
        </is>
      </c>
      <c r="D27" s="2" t="n"/>
      <c r="E27" s="2" t="n">
        <v>10</v>
      </c>
      <c r="F27" s="2" t="n">
        <v>62</v>
      </c>
      <c r="G27" s="2" t="n"/>
      <c r="H27" s="2" t="n">
        <v>1.5</v>
      </c>
      <c r="J27" s="4">
        <f>IF(C27="","",IF(C27="J",Notes!$B$2,Notes!$B$2*Notes!$B$3/(C27+Notes!$B$3)))</f>
        <v/>
      </c>
      <c r="K27" s="4">
        <f>IF(D27="","",IF(D27="J",Notes!$B$2,Notes!$B$2*Notes!$B$3/(D27+Notes!$B$3)))</f>
        <v/>
      </c>
      <c r="L27" s="4">
        <f>IF(E27="","",IF(E27="J",Notes!$B$2,Notes!$B$2*Notes!$B$3/(E27+Notes!$B$3)))</f>
        <v/>
      </c>
      <c r="M27" s="4">
        <f>IF(F27="","",IF(F27="J",Notes!$B$2,Notes!$B$2*Notes!$B$3/(F27+Notes!$B$3)))</f>
        <v/>
      </c>
      <c r="N27" s="4">
        <f>IF(G27="","",IF(G27="J",Notes!$B$2,Notes!$B$2*Notes!$B$3/(G27+Notes!$B$3)))</f>
        <v/>
      </c>
      <c r="O27" s="4">
        <f>IF(H27="","",IF(H27="J",Notes!$B$2,Notes!$B$2*Notes!$B$3/(H27+Notes!$B$3)))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H28" s="2" t="inlineStr">
        <is>
          <t>J</t>
        </is>
      </c>
      <c r="J28" s="4">
        <f>IF(C28="","",IF(C28="J",Notes!$B$2,Notes!$B$2*Notes!$B$3/(C28+Notes!$B$3)))</f>
        <v/>
      </c>
      <c r="K28" s="4">
        <f>IF(D28="","",IF(D28="J",Notes!$B$2,Notes!$B$2*Notes!$B$3/(D28+Notes!$B$3)))</f>
        <v/>
      </c>
      <c r="L28" s="4">
        <f>IF(E28="","",IF(E28="J",Notes!$B$2,Notes!$B$2*Notes!$B$3/(E28+Notes!$B$3)))</f>
        <v/>
      </c>
      <c r="M28" s="4">
        <f>IF(F28="","",IF(F28="J",Notes!$B$2,Notes!$B$2*Notes!$B$3/(F28+Notes!$B$3)))</f>
        <v/>
      </c>
      <c r="N28" s="4">
        <f>IF(G28="","",IF(G28="J",Notes!$B$2,Notes!$B$2*Notes!$B$3/(G28+Notes!$B$3)))</f>
        <v/>
      </c>
      <c r="O28" s="4">
        <f>IF(H28="","",IF(H28="J",Notes!$B$2,Notes!$B$2*Notes!$B$3/(H28+Notes!$B$3)))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T51 revised values (p.32 wiring, new)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>
        <is>
          <t>Bus F (R, kΩ)</t>
        </is>
      </c>
      <c r="I2" s="3" t="inlineStr"/>
      <c r="J2" s="3" t="inlineStr">
        <is>
          <t>A level (V)</t>
        </is>
      </c>
      <c r="K2" s="3" t="inlineStr">
        <is>
          <t>B level (V)</t>
        </is>
      </c>
      <c r="L2" s="3" t="inlineStr">
        <is>
          <t>C level (V)</t>
        </is>
      </c>
      <c r="M2" s="3" t="inlineStr">
        <is>
          <t>D level (V)</t>
        </is>
      </c>
      <c r="N2" s="3" t="inlineStr">
        <is>
          <t>E level (V)</t>
        </is>
      </c>
      <c r="O2" s="3" t="inlineStr">
        <is>
          <t>F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2" t="n"/>
      <c r="G3" s="2" t="n"/>
      <c r="H3" s="2" t="n"/>
      <c r="J3" s="4">
        <f>IF(C3="","",IF(C3="J",Notes!$B$2,Notes!$B$2*Notes!$B$3/(C3+Notes!$B$3)))</f>
        <v/>
      </c>
      <c r="K3" s="4">
        <f>IF(D3="","",IF(D3="J",Notes!$B$2,Notes!$B$2*Notes!$B$3/(D3+Notes!$B$3)))</f>
        <v/>
      </c>
      <c r="L3" s="4">
        <f>IF(E3="","",IF(E3="J",Notes!$B$2,Notes!$B$2*Notes!$B$3/(E3+Notes!$B$3)))</f>
        <v/>
      </c>
      <c r="M3" s="4">
        <f>IF(F3="","",IF(F3="J",Notes!$B$2,Notes!$B$2*Notes!$B$3/(F3+Notes!$B$3)))</f>
        <v/>
      </c>
      <c r="N3" s="4">
        <f>IF(G3="","",IF(G3="J",Notes!$B$2,Notes!$B$2*Notes!$B$3/(G3+Notes!$B$3)))</f>
        <v/>
      </c>
      <c r="O3" s="4">
        <f>IF(H3="","",IF(H3="J",Notes!$B$2,Notes!$B$2*Notes!$B$3/(H3+Notes!$B$3)))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2" t="n"/>
      <c r="G4" s="5" t="n"/>
      <c r="H4" s="2" t="n"/>
      <c r="J4" s="4">
        <f>IF(C4="","",IF(C4="J",Notes!$B$2,Notes!$B$2*Notes!$B$3/(C4+Notes!$B$3)))</f>
        <v/>
      </c>
      <c r="K4" s="4">
        <f>IF(D4="","",IF(D4="J",Notes!$B$2,Notes!$B$2*Notes!$B$3/(D4+Notes!$B$3)))</f>
        <v/>
      </c>
      <c r="L4" s="4">
        <f>IF(E4="","",IF(E4="J",Notes!$B$2,Notes!$B$2*Notes!$B$3/(E4+Notes!$B$3)))</f>
        <v/>
      </c>
      <c r="M4" s="4">
        <f>IF(F4="","",IF(F4="J",Notes!$B$2,Notes!$B$2*Notes!$B$3/(F4+Notes!$B$3)))</f>
        <v/>
      </c>
      <c r="N4" s="4">
        <f>IF(G4="","",IF(G4="J",Notes!$B$2,Notes!$B$2*Notes!$B$3/(G4+Notes!$B$3)))</f>
        <v/>
      </c>
      <c r="O4" s="4">
        <f>IF(H4="","",IF(H4="J",Notes!$B$2,Notes!$B$2*Notes!$B$3/(H4+Notes!$B$3)))</f>
        <v/>
      </c>
    </row>
    <row r="5">
      <c r="A5" t="n">
        <v>3</v>
      </c>
      <c r="B5" t="inlineStr">
        <is>
          <t>VR3 PW</t>
        </is>
      </c>
      <c r="C5" s="2" t="n"/>
      <c r="D5" s="2" t="n"/>
      <c r="E5" s="2" t="n"/>
      <c r="F5" s="2" t="n"/>
      <c r="G5" s="5" t="n">
        <v>7.5</v>
      </c>
      <c r="H5" s="5" t="n"/>
      <c r="J5" s="4">
        <f>IF(C5="","",IF(C5="J",Notes!$B$2,Notes!$B$2*Notes!$B$3/(C5+Notes!$B$3)))</f>
        <v/>
      </c>
      <c r="K5" s="4">
        <f>IF(D5="","",IF(D5="J",Notes!$B$2,Notes!$B$2*Notes!$B$3/(D5+Notes!$B$3)))</f>
        <v/>
      </c>
      <c r="L5" s="4">
        <f>IF(E5="","",IF(E5="J",Notes!$B$2,Notes!$B$2*Notes!$B$3/(E5+Notes!$B$3)))</f>
        <v/>
      </c>
      <c r="M5" s="4">
        <f>IF(F5="","",IF(F5="J",Notes!$B$2,Notes!$B$2*Notes!$B$3/(F5+Notes!$B$3)))</f>
        <v/>
      </c>
      <c r="N5" s="4">
        <f>IF(G5="","",IF(G5="J",Notes!$B$2,Notes!$B$2*Notes!$B$3/(G5+Notes!$B$3)))</f>
        <v/>
      </c>
      <c r="O5" s="4">
        <f>IF(H5="","",IF(H5="J",Notes!$B$2,Notes!$B$2*Notes!$B$3/(H5+Notes!$B$3)))</f>
        <v/>
      </c>
    </row>
    <row r="6">
      <c r="A6" t="n">
        <v>4</v>
      </c>
      <c r="B6" t="inlineStr">
        <is>
          <t>SW1 square</t>
        </is>
      </c>
      <c r="C6" s="2" t="n"/>
      <c r="D6" s="2" t="n"/>
      <c r="E6" s="2" t="n"/>
      <c r="F6" s="2" t="n"/>
      <c r="G6" s="2" t="inlineStr">
        <is>
          <t>J</t>
        </is>
      </c>
      <c r="H6" s="2" t="inlineStr">
        <is>
          <t>J</t>
        </is>
      </c>
      <c r="J6" s="4">
        <f>IF(C6="","",IF(C6="J",Notes!$B$2,Notes!$B$2*Notes!$B$3/(C6+Notes!$B$3)))</f>
        <v/>
      </c>
      <c r="K6" s="4">
        <f>IF(D6="","",IF(D6="J",Notes!$B$2,Notes!$B$2*Notes!$B$3/(D6+Notes!$B$3)))</f>
        <v/>
      </c>
      <c r="L6" s="4">
        <f>IF(E6="","",IF(E6="J",Notes!$B$2,Notes!$B$2*Notes!$B$3/(E6+Notes!$B$3)))</f>
        <v/>
      </c>
      <c r="M6" s="4">
        <f>IF(F6="","",IF(F6="J",Notes!$B$2,Notes!$B$2*Notes!$B$3/(F6+Notes!$B$3)))</f>
        <v/>
      </c>
      <c r="N6" s="4">
        <f>IF(G6="","",IF(G6="J",Notes!$B$2,Notes!$B$2*Notes!$B$3/(G6+Notes!$B$3)))</f>
        <v/>
      </c>
      <c r="O6" s="4">
        <f>IF(H6="","",IF(H6="J",Notes!$B$2,Notes!$B$2*Notes!$B$3/(H6+Notes!$B$3)))</f>
        <v/>
      </c>
    </row>
    <row r="7">
      <c r="A7" t="n">
        <v>5</v>
      </c>
      <c r="B7" t="inlineStr">
        <is>
          <t>SW2 saw/ramp</t>
        </is>
      </c>
      <c r="C7" s="2" t="inlineStr">
        <is>
          <t>J</t>
        </is>
      </c>
      <c r="D7" s="2" t="inlineStr">
        <is>
          <t>J</t>
        </is>
      </c>
      <c r="E7" s="2" t="inlineStr">
        <is>
          <t>J</t>
        </is>
      </c>
      <c r="F7" s="2" t="inlineStr">
        <is>
          <t>J</t>
        </is>
      </c>
      <c r="G7" s="2" t="n"/>
      <c r="H7" s="2" t="inlineStr">
        <is>
          <t>J</t>
        </is>
      </c>
      <c r="J7" s="4">
        <f>IF(C7="","",IF(C7="J",Notes!$B$2,Notes!$B$2*Notes!$B$3/(C7+Notes!$B$3)))</f>
        <v/>
      </c>
      <c r="K7" s="4">
        <f>IF(D7="","",IF(D7="J",Notes!$B$2,Notes!$B$2*Notes!$B$3/(D7+Notes!$B$3)))</f>
        <v/>
      </c>
      <c r="L7" s="4">
        <f>IF(E7="","",IF(E7="J",Notes!$B$2,Notes!$B$2*Notes!$B$3/(E7+Notes!$B$3)))</f>
        <v/>
      </c>
      <c r="M7" s="4">
        <f>IF(F7="","",IF(F7="J",Notes!$B$2,Notes!$B$2*Notes!$B$3/(F7+Notes!$B$3)))</f>
        <v/>
      </c>
      <c r="N7" s="4">
        <f>IF(G7="","",IF(G7="J",Notes!$B$2,Notes!$B$2*Notes!$B$3/(G7+Notes!$B$3)))</f>
        <v/>
      </c>
      <c r="O7" s="4">
        <f>IF(H7="","",IF(H7="J",Notes!$B$2,Notes!$B$2*Notes!$B$3/(H7+Notes!$B$3)))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H8" s="2" t="n"/>
      <c r="J8" s="4">
        <f>IF(C8="","",IF(C8="J",Notes!$B$2,Notes!$B$2*Notes!$B$3/(C8+Notes!$B$3)))</f>
        <v/>
      </c>
      <c r="K8" s="4">
        <f>IF(D8="","",IF(D8="J",Notes!$B$2,Notes!$B$2*Notes!$B$3/(D8+Notes!$B$3)))</f>
        <v/>
      </c>
      <c r="L8" s="4">
        <f>IF(E8="","",IF(E8="J",Notes!$B$2,Notes!$B$2*Notes!$B$3/(E8+Notes!$B$3)))</f>
        <v/>
      </c>
      <c r="M8" s="4">
        <f>IF(F8="","",IF(F8="J",Notes!$B$2,Notes!$B$2*Notes!$B$3/(F8+Notes!$B$3)))</f>
        <v/>
      </c>
      <c r="N8" s="4">
        <f>IF(G8="","",IF(G8="J",Notes!$B$2,Notes!$B$2*Notes!$B$3/(G8+Notes!$B$3)))</f>
        <v/>
      </c>
      <c r="O8" s="4">
        <f>IF(H8="","",IF(H8="J",Notes!$B$2,Notes!$B$2*Notes!$B$3/(H8+Notes!$B$3)))</f>
        <v/>
      </c>
    </row>
    <row r="9">
      <c r="A9" t="n">
        <v>7</v>
      </c>
      <c r="B9" t="inlineStr">
        <is>
          <t>HPF (BA fo1/fo3)</t>
        </is>
      </c>
      <c r="C9" s="5" t="n">
        <v>6.2</v>
      </c>
      <c r="D9" s="2" t="n"/>
      <c r="E9" s="2" t="n"/>
      <c r="F9" s="5" t="n">
        <v>27</v>
      </c>
      <c r="G9" s="5" t="n"/>
      <c r="H9" s="5" t="n"/>
      <c r="J9" s="4">
        <f>IF(C9="","",IF(C9="J",Notes!$B$2,Notes!$B$2*Notes!$B$3/(C9+Notes!$B$3)))</f>
        <v/>
      </c>
      <c r="K9" s="4">
        <f>IF(D9="","",IF(D9="J",Notes!$B$2,Notes!$B$2*Notes!$B$3/(D9+Notes!$B$3)))</f>
        <v/>
      </c>
      <c r="L9" s="4">
        <f>IF(E9="","",IF(E9="J",Notes!$B$2,Notes!$B$2*Notes!$B$3/(E9+Notes!$B$3)))</f>
        <v/>
      </c>
      <c r="M9" s="4">
        <f>IF(F9="","",IF(F9="J",Notes!$B$2,Notes!$B$2*Notes!$B$3/(F9+Notes!$B$3)))</f>
        <v/>
      </c>
      <c r="N9" s="4">
        <f>IF(G9="","",IF(G9="J",Notes!$B$2,Notes!$B$2*Notes!$B$3/(G9+Notes!$B$3)))</f>
        <v/>
      </c>
      <c r="O9" s="4">
        <f>IF(H9="","",IF(H9="J",Notes!$B$2,Notes!$B$2*Notes!$B$3/(H9+Notes!$B$3)))</f>
        <v/>
      </c>
    </row>
    <row r="10">
      <c r="A10" t="n">
        <v>8</v>
      </c>
      <c r="B10" t="inlineStr">
        <is>
          <t>VR6 RESH</t>
        </is>
      </c>
      <c r="C10" s="5" t="inlineStr">
        <is>
          <t>J</t>
        </is>
      </c>
      <c r="D10" s="2" t="inlineStr">
        <is>
          <t>J</t>
        </is>
      </c>
      <c r="E10" s="2" t="inlineStr">
        <is>
          <t>J</t>
        </is>
      </c>
      <c r="F10" s="5" t="n">
        <v>18</v>
      </c>
      <c r="G10" s="5" t="inlineStr">
        <is>
          <t>J</t>
        </is>
      </c>
      <c r="H10" s="5" t="inlineStr">
        <is>
          <t>J</t>
        </is>
      </c>
      <c r="J10" s="4">
        <f>IF(C10="","",IF(C10="J",Notes!$B$2,Notes!$B$2*Notes!$B$3/(C10+Notes!$B$3)))</f>
        <v/>
      </c>
      <c r="K10" s="4">
        <f>IF(D10="","",IF(D10="J",Notes!$B$2,Notes!$B$2*Notes!$B$3/(D10+Notes!$B$3)))</f>
        <v/>
      </c>
      <c r="L10" s="4">
        <f>IF(E10="","",IF(E10="J",Notes!$B$2,Notes!$B$2*Notes!$B$3/(E10+Notes!$B$3)))</f>
        <v/>
      </c>
      <c r="M10" s="4">
        <f>IF(F10="","",IF(F10="J",Notes!$B$2,Notes!$B$2*Notes!$B$3/(F10+Notes!$B$3)))</f>
        <v/>
      </c>
      <c r="N10" s="4">
        <f>IF(G10="","",IF(G10="J",Notes!$B$2,Notes!$B$2*Notes!$B$3/(G10+Notes!$B$3)))</f>
        <v/>
      </c>
      <c r="O10" s="4">
        <f>IF(H10="","",IF(H10="J",Notes!$B$2,Notes!$B$2*Notes!$B$3/(H10+Notes!$B$3)))</f>
        <v/>
      </c>
    </row>
    <row r="11">
      <c r="A11" t="n">
        <v>9</v>
      </c>
      <c r="B11" t="inlineStr">
        <is>
          <t>LPF (BA fo2/fo4)</t>
        </is>
      </c>
      <c r="C11" s="5" t="n">
        <v>0.75</v>
      </c>
      <c r="D11" s="5" t="n">
        <v>1.6</v>
      </c>
      <c r="E11" s="5" t="n">
        <v>4.3</v>
      </c>
      <c r="F11" s="5" t="n">
        <v>13</v>
      </c>
      <c r="G11" s="5" t="n">
        <v>12</v>
      </c>
      <c r="H11" s="5" t="n"/>
      <c r="J11" s="4">
        <f>IF(C11="","",IF(C11="J",Notes!$B$2,Notes!$B$2*Notes!$B$3/(C11+Notes!$B$3)))</f>
        <v/>
      </c>
      <c r="K11" s="4">
        <f>IF(D11="","",IF(D11="J",Notes!$B$2,Notes!$B$2*Notes!$B$3/(D11+Notes!$B$3)))</f>
        <v/>
      </c>
      <c r="L11" s="4">
        <f>IF(E11="","",IF(E11="J",Notes!$B$2,Notes!$B$2*Notes!$B$3/(E11+Notes!$B$3)))</f>
        <v/>
      </c>
      <c r="M11" s="4">
        <f>IF(F11="","",IF(F11="J",Notes!$B$2,Notes!$B$2*Notes!$B$3/(F11+Notes!$B$3)))</f>
        <v/>
      </c>
      <c r="N11" s="4">
        <f>IF(G11="","",IF(G11="J",Notes!$B$2,Notes!$B$2*Notes!$B$3/(G11+Notes!$B$3)))</f>
        <v/>
      </c>
      <c r="O11" s="4">
        <f>IF(H11="","",IF(H11="J",Notes!$B$2,Notes!$B$2*Notes!$B$3/(H11+Notes!$B$3)))</f>
        <v/>
      </c>
    </row>
    <row r="12">
      <c r="A12" t="n">
        <v>10</v>
      </c>
      <c r="B12" t="inlineStr">
        <is>
          <t>VR8 RESL</t>
        </is>
      </c>
      <c r="C12" s="5" t="inlineStr">
        <is>
          <t>J</t>
        </is>
      </c>
      <c r="D12" s="2" t="inlineStr">
        <is>
          <t>J</t>
        </is>
      </c>
      <c r="E12" s="5" t="n">
        <v>3.6</v>
      </c>
      <c r="F12" s="5" t="n">
        <v>15</v>
      </c>
      <c r="G12" s="5" t="n"/>
      <c r="H12" s="5" t="inlineStr">
        <is>
          <t>J</t>
        </is>
      </c>
      <c r="J12" s="4">
        <f>IF(C12="","",IF(C12="J",Notes!$B$2,Notes!$B$2*Notes!$B$3/(C12+Notes!$B$3)))</f>
        <v/>
      </c>
      <c r="K12" s="4">
        <f>IF(D12="","",IF(D12="J",Notes!$B$2,Notes!$B$2*Notes!$B$3/(D12+Notes!$B$3)))</f>
        <v/>
      </c>
      <c r="L12" s="4">
        <f>IF(E12="","",IF(E12="J",Notes!$B$2,Notes!$B$2*Notes!$B$3/(E12+Notes!$B$3)))</f>
        <v/>
      </c>
      <c r="M12" s="4">
        <f>IF(F12="","",IF(F12="J",Notes!$B$2,Notes!$B$2*Notes!$B$3/(F12+Notes!$B$3)))</f>
        <v/>
      </c>
      <c r="N12" s="4">
        <f>IF(G12="","",IF(G12="J",Notes!$B$2,Notes!$B$2*Notes!$B$3/(G12+Notes!$B$3)))</f>
        <v/>
      </c>
      <c r="O12" s="4">
        <f>IF(H12="","",IF(H12="J",Notes!$B$2,Notes!$B$2*Notes!$B$3/(H12+Notes!$B$3)))</f>
        <v/>
      </c>
    </row>
    <row r="13">
      <c r="A13" t="n">
        <v>11</v>
      </c>
      <c r="B13" t="inlineStr">
        <is>
          <t>VR9 IL</t>
        </is>
      </c>
      <c r="C13" s="5" t="inlineStr">
        <is>
          <t>J</t>
        </is>
      </c>
      <c r="D13" s="5" t="n">
        <v>4.7</v>
      </c>
      <c r="E13" s="5" t="n">
        <v>9.1</v>
      </c>
      <c r="F13" s="5" t="n">
        <v>27</v>
      </c>
      <c r="G13" s="2" t="n"/>
      <c r="H13" s="2" t="n"/>
      <c r="J13" s="4">
        <f>IF(C13="","",IF(C13="J",Notes!$B$2,Notes!$B$2*Notes!$B$3/(C13+Notes!$B$3)))</f>
        <v/>
      </c>
      <c r="K13" s="4">
        <f>IF(D13="","",IF(D13="J",Notes!$B$2,Notes!$B$2*Notes!$B$3/(D13+Notes!$B$3)))</f>
        <v/>
      </c>
      <c r="L13" s="4">
        <f>IF(E13="","",IF(E13="J",Notes!$B$2,Notes!$B$2*Notes!$B$3/(E13+Notes!$B$3)))</f>
        <v/>
      </c>
      <c r="M13" s="4">
        <f>IF(F13="","",IF(F13="J",Notes!$B$2,Notes!$B$2*Notes!$B$3/(F13+Notes!$B$3)))</f>
        <v/>
      </c>
      <c r="N13" s="4">
        <f>IF(G13="","",IF(G13="J",Notes!$B$2,Notes!$B$2*Notes!$B$3/(G13+Notes!$B$3)))</f>
        <v/>
      </c>
      <c r="O13" s="4">
        <f>IF(H13="","",IF(H13="J",Notes!$B$2,Notes!$B$2*Notes!$B$3/(H13+Notes!$B$3)))</f>
        <v/>
      </c>
    </row>
    <row r="14">
      <c r="A14" t="n">
        <v>12</v>
      </c>
      <c r="B14" t="inlineStr">
        <is>
          <t>VR10 AL</t>
        </is>
      </c>
      <c r="C14" s="5" t="inlineStr">
        <is>
          <t>J</t>
        </is>
      </c>
      <c r="D14" s="5" t="n">
        <v>30</v>
      </c>
      <c r="E14" s="5" t="n">
        <v>20</v>
      </c>
      <c r="F14" s="5" t="n">
        <v>1.6</v>
      </c>
      <c r="G14" s="5" t="n">
        <v>3.3</v>
      </c>
      <c r="H14" s="5" t="inlineStr">
        <is>
          <t>J</t>
        </is>
      </c>
      <c r="J14" s="4">
        <f>IF(C14="","",IF(C14="J",Notes!$B$2,Notes!$B$2*Notes!$B$3/(C14+Notes!$B$3)))</f>
        <v/>
      </c>
      <c r="K14" s="4">
        <f>IF(D14="","",IF(D14="J",Notes!$B$2,Notes!$B$2*Notes!$B$3/(D14+Notes!$B$3)))</f>
        <v/>
      </c>
      <c r="L14" s="4">
        <f>IF(E14="","",IF(E14="J",Notes!$B$2,Notes!$B$2*Notes!$B$3/(E14+Notes!$B$3)))</f>
        <v/>
      </c>
      <c r="M14" s="4">
        <f>IF(F14="","",IF(F14="J",Notes!$B$2,Notes!$B$2*Notes!$B$3/(F14+Notes!$B$3)))</f>
        <v/>
      </c>
      <c r="N14" s="4">
        <f>IF(G14="","",IF(G14="J",Notes!$B$2,Notes!$B$2*Notes!$B$3/(G14+Notes!$B$3)))</f>
        <v/>
      </c>
      <c r="O14" s="4">
        <f>IF(H14="","",IF(H14="J",Notes!$B$2,Notes!$B$2*Notes!$B$3/(H14+Notes!$B$3)))</f>
        <v/>
      </c>
    </row>
    <row r="15">
      <c r="A15" t="n">
        <v>13</v>
      </c>
      <c r="B15" t="inlineStr">
        <is>
          <t>VR11 A</t>
        </is>
      </c>
      <c r="C15" s="5" t="inlineStr">
        <is>
          <t>J</t>
        </is>
      </c>
      <c r="D15" s="5" t="n">
        <v>8.199999999999999</v>
      </c>
      <c r="E15" s="5" t="n">
        <v>120</v>
      </c>
      <c r="F15" s="5" t="n">
        <v>15</v>
      </c>
      <c r="G15" s="2" t="inlineStr">
        <is>
          <t>J</t>
        </is>
      </c>
      <c r="H15" s="2" t="inlineStr">
        <is>
          <t>J</t>
        </is>
      </c>
      <c r="J15" s="4">
        <f>IF(C15="","",IF(C15="J",Notes!$B$2,Notes!$B$2*Notes!$B$3/(C15+Notes!$B$3)))</f>
        <v/>
      </c>
      <c r="K15" s="4">
        <f>IF(D15="","",IF(D15="J",Notes!$B$2,Notes!$B$2*Notes!$B$3/(D15+Notes!$B$3)))</f>
        <v/>
      </c>
      <c r="L15" s="4">
        <f>IF(E15="","",IF(E15="J",Notes!$B$2,Notes!$B$2*Notes!$B$3/(E15+Notes!$B$3)))</f>
        <v/>
      </c>
      <c r="M15" s="4">
        <f>IF(F15="","",IF(F15="J",Notes!$B$2,Notes!$B$2*Notes!$B$3/(F15+Notes!$B$3)))</f>
        <v/>
      </c>
      <c r="N15" s="4">
        <f>IF(G15="","",IF(G15="J",Notes!$B$2,Notes!$B$2*Notes!$B$3/(G15+Notes!$B$3)))</f>
        <v/>
      </c>
      <c r="O15" s="4">
        <f>IF(H15="","",IF(H15="J",Notes!$B$2,Notes!$B$2*Notes!$B$3/(H15+Notes!$B$3)))</f>
        <v/>
      </c>
    </row>
    <row r="16">
      <c r="A16" t="n">
        <v>14</v>
      </c>
      <c r="B16" t="inlineStr">
        <is>
          <t>VR12 D</t>
        </is>
      </c>
      <c r="C16" s="5" t="inlineStr">
        <is>
          <t>J</t>
        </is>
      </c>
      <c r="D16" s="5" t="n">
        <v>75</v>
      </c>
      <c r="E16" s="5" t="n">
        <v>13</v>
      </c>
      <c r="F16" s="5" t="n">
        <v>12</v>
      </c>
      <c r="G16" s="5" t="n">
        <v>8.199999999999999</v>
      </c>
      <c r="H16" s="5" t="n">
        <v>22</v>
      </c>
      <c r="J16" s="4">
        <f>IF(C16="","",IF(C16="J",Notes!$B$2,Notes!$B$2*Notes!$B$3/(C16+Notes!$B$3)))</f>
        <v/>
      </c>
      <c r="K16" s="4">
        <f>IF(D16="","",IF(D16="J",Notes!$B$2,Notes!$B$2*Notes!$B$3/(D16+Notes!$B$3)))</f>
        <v/>
      </c>
      <c r="L16" s="4">
        <f>IF(E16="","",IF(E16="J",Notes!$B$2,Notes!$B$2*Notes!$B$3/(E16+Notes!$B$3)))</f>
        <v/>
      </c>
      <c r="M16" s="4">
        <f>IF(F16="","",IF(F16="J",Notes!$B$2,Notes!$B$2*Notes!$B$3/(F16+Notes!$B$3)))</f>
        <v/>
      </c>
      <c r="N16" s="4">
        <f>IF(G16="","",IF(G16="J",Notes!$B$2,Notes!$B$2*Notes!$B$3/(G16+Notes!$B$3)))</f>
        <v/>
      </c>
      <c r="O16" s="4">
        <f>IF(H16="","",IF(H16="J",Notes!$B$2,Notes!$B$2*Notes!$B$3/(H16+Notes!$B$3)))</f>
        <v/>
      </c>
    </row>
    <row r="17">
      <c r="A17" t="n">
        <v>15</v>
      </c>
      <c r="B17" t="inlineStr">
        <is>
          <t>VR13 R</t>
        </is>
      </c>
      <c r="C17" s="5" t="inlineStr">
        <is>
          <t>J</t>
        </is>
      </c>
      <c r="D17" s="5" t="n">
        <v>3.9</v>
      </c>
      <c r="E17" s="2" t="inlineStr">
        <is>
          <t>J</t>
        </is>
      </c>
      <c r="F17" s="5" t="n">
        <v>3.9</v>
      </c>
      <c r="G17" s="5" t="n">
        <v>1.6</v>
      </c>
      <c r="H17" s="5" t="inlineStr">
        <is>
          <t>J</t>
        </is>
      </c>
      <c r="J17" s="4">
        <f>IF(C17="","",IF(C17="J",Notes!$B$2,Notes!$B$2*Notes!$B$3/(C17+Notes!$B$3)))</f>
        <v/>
      </c>
      <c r="K17" s="4">
        <f>IF(D17="","",IF(D17="J",Notes!$B$2,Notes!$B$2*Notes!$B$3/(D17+Notes!$B$3)))</f>
        <v/>
      </c>
      <c r="L17" s="4">
        <f>IF(E17="","",IF(E17="J",Notes!$B$2,Notes!$B$2*Notes!$B$3/(E17+Notes!$B$3)))</f>
        <v/>
      </c>
      <c r="M17" s="4">
        <f>IF(F17="","",IF(F17="J",Notes!$B$2,Notes!$B$2*Notes!$B$3/(F17+Notes!$B$3)))</f>
        <v/>
      </c>
      <c r="N17" s="4">
        <f>IF(G17="","",IF(G17="J",Notes!$B$2,Notes!$B$2*Notes!$B$3/(G17+Notes!$B$3)))</f>
        <v/>
      </c>
      <c r="O17" s="4">
        <f>IF(H17="","",IF(H17="J",Notes!$B$2,Notes!$B$2*Notes!$B$3/(H17+Notes!$B$3)))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H18" s="2" t="inlineStr">
        <is>
          <t>J</t>
        </is>
      </c>
      <c r="J18" s="4">
        <f>IF(C18="","",IF(C18="J",Notes!$B$2,Notes!$B$2*Notes!$B$3/(C18+Notes!$B$3)))</f>
        <v/>
      </c>
      <c r="K18" s="4">
        <f>IF(D18="","",IF(D18="J",Notes!$B$2,Notes!$B$2*Notes!$B$3/(D18+Notes!$B$3)))</f>
        <v/>
      </c>
      <c r="L18" s="4">
        <f>IF(E18="","",IF(E18="J",Notes!$B$2,Notes!$B$2*Notes!$B$3/(E18+Notes!$B$3)))</f>
        <v/>
      </c>
      <c r="M18" s="4">
        <f>IF(F18="","",IF(F18="J",Notes!$B$2,Notes!$B$2*Notes!$B$3/(F18+Notes!$B$3)))</f>
        <v/>
      </c>
      <c r="N18" s="4">
        <f>IF(G18="","",IF(G18="J",Notes!$B$2,Notes!$B$2*Notes!$B$3/(G18+Notes!$B$3)))</f>
        <v/>
      </c>
      <c r="O18" s="4">
        <f>IF(H18="","",IF(H18="J",Notes!$B$2,Notes!$B$2*Notes!$B$3/(H18+Notes!$B$3)))</f>
        <v/>
      </c>
    </row>
    <row r="19">
      <c r="A19" t="n">
        <v>17</v>
      </c>
      <c r="B19" t="inlineStr">
        <is>
          <t>VR15 wave symbol</t>
        </is>
      </c>
      <c r="C19" s="5" t="n"/>
      <c r="D19" s="2" t="n"/>
      <c r="E19" s="5" t="n"/>
      <c r="F19" s="2" t="n"/>
      <c r="G19" s="5" t="n"/>
      <c r="H19" s="2" t="n"/>
      <c r="J19" s="4">
        <f>IF(C19="","",IF(C19="J",Notes!$B$2,Notes!$B$2*Notes!$B$3/(C19+Notes!$B$3)))</f>
        <v/>
      </c>
      <c r="K19" s="4">
        <f>IF(D19="","",IF(D19="J",Notes!$B$2,Notes!$B$2*Notes!$B$3/(D19+Notes!$B$3)))</f>
        <v/>
      </c>
      <c r="L19" s="4">
        <f>IF(E19="","",IF(E19="J",Notes!$B$2,Notes!$B$2*Notes!$B$3/(E19+Notes!$B$3)))</f>
        <v/>
      </c>
      <c r="M19" s="4">
        <f>IF(F19="","",IF(F19="J",Notes!$B$2,Notes!$B$2*Notes!$B$3/(F19+Notes!$B$3)))</f>
        <v/>
      </c>
      <c r="N19" s="4">
        <f>IF(G19="","",IF(G19="J",Notes!$B$2,Notes!$B$2*Notes!$B$3/(G19+Notes!$B$3)))</f>
        <v/>
      </c>
      <c r="O19" s="4">
        <f>IF(H19="","",IF(H19="J",Notes!$B$2,Notes!$B$2*Notes!$B$3/(H19+Notes!$B$3)))</f>
        <v/>
      </c>
    </row>
    <row r="20">
      <c r="A20" t="n">
        <v>18</v>
      </c>
      <c r="B20" t="inlineStr">
        <is>
          <t>VR16 A</t>
        </is>
      </c>
      <c r="C20" s="5" t="n">
        <v>2.2</v>
      </c>
      <c r="D20" s="5" t="n">
        <v>13</v>
      </c>
      <c r="E20" s="5" t="n">
        <v>9.1</v>
      </c>
      <c r="F20" s="5" t="n">
        <v>8.199999999999999</v>
      </c>
      <c r="G20" s="5" t="n">
        <v>4.3</v>
      </c>
      <c r="H20" s="2" t="inlineStr">
        <is>
          <t>J</t>
        </is>
      </c>
      <c r="J20" s="4">
        <f>IF(C20="","",IF(C20="J",Notes!$B$2,Notes!$B$2*Notes!$B$3/(C20+Notes!$B$3)))</f>
        <v/>
      </c>
      <c r="K20" s="4">
        <f>IF(D20="","",IF(D20="J",Notes!$B$2,Notes!$B$2*Notes!$B$3/(D20+Notes!$B$3)))</f>
        <v/>
      </c>
      <c r="L20" s="4">
        <f>IF(E20="","",IF(E20="J",Notes!$B$2,Notes!$B$2*Notes!$B$3/(E20+Notes!$B$3)))</f>
        <v/>
      </c>
      <c r="M20" s="4">
        <f>IF(F20="","",IF(F20="J",Notes!$B$2,Notes!$B$2*Notes!$B$3/(F20+Notes!$B$3)))</f>
        <v/>
      </c>
      <c r="N20" s="4">
        <f>IF(G20="","",IF(G20="J",Notes!$B$2,Notes!$B$2*Notes!$B$3/(G20+Notes!$B$3)))</f>
        <v/>
      </c>
      <c r="O20" s="4">
        <f>IF(H20="","",IF(H20="J",Notes!$B$2,Notes!$B$2*Notes!$B$3/(H20+Notes!$B$3)))</f>
        <v/>
      </c>
    </row>
    <row r="21">
      <c r="A21" t="n">
        <v>19</v>
      </c>
      <c r="B21" t="inlineStr">
        <is>
          <t>VR17 D</t>
        </is>
      </c>
      <c r="C21" s="5" t="n">
        <v>47</v>
      </c>
      <c r="D21" s="2" t="n"/>
      <c r="E21" s="5" t="n">
        <v>36</v>
      </c>
      <c r="F21" s="5" t="n">
        <v>13</v>
      </c>
      <c r="G21" s="5" t="n">
        <v>33</v>
      </c>
      <c r="H21" s="5" t="n">
        <v>11</v>
      </c>
      <c r="J21" s="4">
        <f>IF(C21="","",IF(C21="J",Notes!$B$2,Notes!$B$2*Notes!$B$3/(C21+Notes!$B$3)))</f>
        <v/>
      </c>
      <c r="K21" s="4">
        <f>IF(D21="","",IF(D21="J",Notes!$B$2,Notes!$B$2*Notes!$B$3/(D21+Notes!$B$3)))</f>
        <v/>
      </c>
      <c r="L21" s="4">
        <f>IF(E21="","",IF(E21="J",Notes!$B$2,Notes!$B$2*Notes!$B$3/(E21+Notes!$B$3)))</f>
        <v/>
      </c>
      <c r="M21" s="4">
        <f>IF(F21="","",IF(F21="J",Notes!$B$2,Notes!$B$2*Notes!$B$3/(F21+Notes!$B$3)))</f>
        <v/>
      </c>
      <c r="N21" s="4">
        <f>IF(G21="","",IF(G21="J",Notes!$B$2,Notes!$B$2*Notes!$B$3/(G21+Notes!$B$3)))</f>
        <v/>
      </c>
      <c r="O21" s="4">
        <f>IF(H21="","",IF(H21="J",Notes!$B$2,Notes!$B$2*Notes!$B$3/(H21+Notes!$B$3)))</f>
        <v/>
      </c>
    </row>
    <row r="22">
      <c r="A22" t="n">
        <v>20</v>
      </c>
      <c r="B22" t="inlineStr">
        <is>
          <t>VR18 S</t>
        </is>
      </c>
      <c r="C22" s="5" t="inlineStr">
        <is>
          <t>J</t>
        </is>
      </c>
      <c r="D22" s="5" t="n">
        <v>1.2</v>
      </c>
      <c r="E22" s="5" t="n">
        <v>1.2</v>
      </c>
      <c r="F22" s="5" t="n">
        <v>11</v>
      </c>
      <c r="G22" s="5" t="n"/>
      <c r="H22" s="5" t="n">
        <v>43</v>
      </c>
      <c r="J22" s="4">
        <f>IF(C22="","",IF(C22="J",Notes!$B$2,Notes!$B$2*Notes!$B$3/(C22+Notes!$B$3)))</f>
        <v/>
      </c>
      <c r="K22" s="4">
        <f>IF(D22="","",IF(D22="J",Notes!$B$2,Notes!$B$2*Notes!$B$3/(D22+Notes!$B$3)))</f>
        <v/>
      </c>
      <c r="L22" s="4">
        <f>IF(E22="","",IF(E22="J",Notes!$B$2,Notes!$B$2*Notes!$B$3/(E22+Notes!$B$3)))</f>
        <v/>
      </c>
      <c r="M22" s="4">
        <f>IF(F22="","",IF(F22="J",Notes!$B$2,Notes!$B$2*Notes!$B$3/(F22+Notes!$B$3)))</f>
        <v/>
      </c>
      <c r="N22" s="4">
        <f>IF(G22="","",IF(G22="J",Notes!$B$2,Notes!$B$2*Notes!$B$3/(G22+Notes!$B$3)))</f>
        <v/>
      </c>
      <c r="O22" s="4">
        <f>IF(H22="","",IF(H22="J",Notes!$B$2,Notes!$B$2*Notes!$B$3/(H22+Notes!$B$3)))</f>
        <v/>
      </c>
    </row>
    <row r="23">
      <c r="A23" t="n">
        <v>21</v>
      </c>
      <c r="B23" t="inlineStr">
        <is>
          <t>VR19 R</t>
        </is>
      </c>
      <c r="C23" s="5" t="n">
        <v>4.7</v>
      </c>
      <c r="D23" s="5" t="n">
        <v>2.7</v>
      </c>
      <c r="E23" s="2" t="inlineStr">
        <is>
          <t>J</t>
        </is>
      </c>
      <c r="F23" s="5" t="n">
        <v>5.1</v>
      </c>
      <c r="G23" s="5" t="inlineStr">
        <is>
          <t>J</t>
        </is>
      </c>
      <c r="H23" s="5" t="n">
        <v>2</v>
      </c>
      <c r="J23" s="4">
        <f>IF(C23="","",IF(C23="J",Notes!$B$2,Notes!$B$2*Notes!$B$3/(C23+Notes!$B$3)))</f>
        <v/>
      </c>
      <c r="K23" s="4">
        <f>IF(D23="","",IF(D23="J",Notes!$B$2,Notes!$B$2*Notes!$B$3/(D23+Notes!$B$3)))</f>
        <v/>
      </c>
      <c r="L23" s="4">
        <f>IF(E23="","",IF(E23="J",Notes!$B$2,Notes!$B$2*Notes!$B$3/(E23+Notes!$B$3)))</f>
        <v/>
      </c>
      <c r="M23" s="4">
        <f>IF(F23="","",IF(F23="J",Notes!$B$2,Notes!$B$2*Notes!$B$3/(F23+Notes!$B$3)))</f>
        <v/>
      </c>
      <c r="N23" s="4">
        <f>IF(G23="","",IF(G23="J",Notes!$B$2,Notes!$B$2*Notes!$B$3/(G23+Notes!$B$3)))</f>
        <v/>
      </c>
      <c r="O23" s="4">
        <f>IF(H23="","",IF(H23="J",Notes!$B$2,Notes!$B$2*Notes!$B$3/(H23+Notes!$B$3)))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5" t="n">
        <v>1.8</v>
      </c>
      <c r="E24" s="2" t="inlineStr">
        <is>
          <t>J</t>
        </is>
      </c>
      <c r="F24" s="5" t="n">
        <v>1.8</v>
      </c>
      <c r="G24" s="5" t="inlineStr">
        <is>
          <t>J</t>
        </is>
      </c>
      <c r="H24" s="5" t="n">
        <v>12</v>
      </c>
      <c r="J24" s="4">
        <f>IF(C24="","",IF(C24="J",Notes!$B$2,Notes!$B$2*Notes!$B$3/(C24+Notes!$B$3)))</f>
        <v/>
      </c>
      <c r="K24" s="4">
        <f>IF(D24="","",IF(D24="J",Notes!$B$2,Notes!$B$2*Notes!$B$3/(D24+Notes!$B$3)))</f>
        <v/>
      </c>
      <c r="L24" s="4">
        <f>IF(E24="","",IF(E24="J",Notes!$B$2,Notes!$B$2*Notes!$B$3/(E24+Notes!$B$3)))</f>
        <v/>
      </c>
      <c r="M24" s="4">
        <f>IF(F24="","",IF(F24="J",Notes!$B$2,Notes!$B$2*Notes!$B$3/(F24+Notes!$B$3)))</f>
        <v/>
      </c>
      <c r="N24" s="4">
        <f>IF(G24="","",IF(G24="J",Notes!$B$2,Notes!$B$2*Notes!$B$3/(G24+Notes!$B$3)))</f>
        <v/>
      </c>
      <c r="O24" s="4">
        <f>IF(H24="","",IF(H24="J",Notes!$B$2,Notes!$B$2*Notes!$B$3/(H24+Notes!$B$3)))</f>
        <v/>
      </c>
    </row>
    <row r="25">
      <c r="A25" t="n">
        <v>23</v>
      </c>
      <c r="B25" t="inlineStr">
        <is>
          <t>VR21 touch: init brilliance</t>
        </is>
      </c>
      <c r="C25" s="5" t="n">
        <v>22</v>
      </c>
      <c r="D25" s="5" t="n">
        <v>22</v>
      </c>
      <c r="E25" s="5" t="n">
        <v>22</v>
      </c>
      <c r="F25" s="5" t="n">
        <v>22</v>
      </c>
      <c r="G25" s="5" t="n">
        <v>22</v>
      </c>
      <c r="H25" s="5" t="n">
        <v>16</v>
      </c>
      <c r="J25" s="4">
        <f>IF(C25="","",IF(C25="J",Notes!$B$2,Notes!$B$2*Notes!$B$3/(C25+Notes!$B$3)))</f>
        <v/>
      </c>
      <c r="K25" s="4">
        <f>IF(D25="","",IF(D25="J",Notes!$B$2,Notes!$B$2*Notes!$B$3/(D25+Notes!$B$3)))</f>
        <v/>
      </c>
      <c r="L25" s="4">
        <f>IF(E25="","",IF(E25="J",Notes!$B$2,Notes!$B$2*Notes!$B$3/(E25+Notes!$B$3)))</f>
        <v/>
      </c>
      <c r="M25" s="4">
        <f>IF(F25="","",IF(F25="J",Notes!$B$2,Notes!$B$2*Notes!$B$3/(F25+Notes!$B$3)))</f>
        <v/>
      </c>
      <c r="N25" s="4">
        <f>IF(G25="","",IF(G25="J",Notes!$B$2,Notes!$B$2*Notes!$B$3/(G25+Notes!$B$3)))</f>
        <v/>
      </c>
      <c r="O25" s="4">
        <f>IF(H25="","",IF(H25="J",Notes!$B$2,Notes!$B$2*Notes!$B$3/(H25+Notes!$B$3)))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H26" s="2" t="inlineStr">
        <is>
          <t>J</t>
        </is>
      </c>
      <c r="J26" s="4">
        <f>IF(C26="","",IF(C26="J",Notes!$B$2,Notes!$B$2*Notes!$B$3/(C26+Notes!$B$3)))</f>
        <v/>
      </c>
      <c r="K26" s="4">
        <f>IF(D26="","",IF(D26="J",Notes!$B$2,Notes!$B$2*Notes!$B$3/(D26+Notes!$B$3)))</f>
        <v/>
      </c>
      <c r="L26" s="4">
        <f>IF(E26="","",IF(E26="J",Notes!$B$2,Notes!$B$2*Notes!$B$3/(E26+Notes!$B$3)))</f>
        <v/>
      </c>
      <c r="M26" s="4">
        <f>IF(F26="","",IF(F26="J",Notes!$B$2,Notes!$B$2*Notes!$B$3/(F26+Notes!$B$3)))</f>
        <v/>
      </c>
      <c r="N26" s="4">
        <f>IF(G26="","",IF(G26="J",Notes!$B$2,Notes!$B$2*Notes!$B$3/(G26+Notes!$B$3)))</f>
        <v/>
      </c>
      <c r="O26" s="4">
        <f>IF(H26="","",IF(H26="J",Notes!$B$2,Notes!$B$2*Notes!$B$3/(H26+Notes!$B$3)))</f>
        <v/>
      </c>
    </row>
    <row r="27">
      <c r="A27" t="n">
        <v>25</v>
      </c>
      <c r="B27" t="inlineStr">
        <is>
          <t>VR23 touch: after brilliance</t>
        </is>
      </c>
      <c r="C27" s="2" t="inlineStr">
        <is>
          <t>J</t>
        </is>
      </c>
      <c r="D27" s="2" t="n"/>
      <c r="E27" s="2" t="n">
        <v>10</v>
      </c>
      <c r="F27" s="2" t="n">
        <v>62</v>
      </c>
      <c r="G27" s="2" t="n"/>
      <c r="H27" s="2" t="n">
        <v>1.5</v>
      </c>
      <c r="J27" s="4">
        <f>IF(C27="","",IF(C27="J",Notes!$B$2,Notes!$B$2*Notes!$B$3/(C27+Notes!$B$3)))</f>
        <v/>
      </c>
      <c r="K27" s="4">
        <f>IF(D27="","",IF(D27="J",Notes!$B$2,Notes!$B$2*Notes!$B$3/(D27+Notes!$B$3)))</f>
        <v/>
      </c>
      <c r="L27" s="4">
        <f>IF(E27="","",IF(E27="J",Notes!$B$2,Notes!$B$2*Notes!$B$3/(E27+Notes!$B$3)))</f>
        <v/>
      </c>
      <c r="M27" s="4">
        <f>IF(F27="","",IF(F27="J",Notes!$B$2,Notes!$B$2*Notes!$B$3/(F27+Notes!$B$3)))</f>
        <v/>
      </c>
      <c r="N27" s="4">
        <f>IF(G27="","",IF(G27="J",Notes!$B$2,Notes!$B$2*Notes!$B$3/(G27+Notes!$B$3)))</f>
        <v/>
      </c>
      <c r="O27" s="4">
        <f>IF(H27="","",IF(H27="J",Notes!$B$2,Notes!$B$2*Notes!$B$3/(H27+Notes!$B$3)))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H28" s="2" t="inlineStr">
        <is>
          <t>J</t>
        </is>
      </c>
      <c r="J28" s="4">
        <f>IF(C28="","",IF(C28="J",Notes!$B$2,Notes!$B$2*Notes!$B$3/(C28+Notes!$B$3)))</f>
        <v/>
      </c>
      <c r="K28" s="4">
        <f>IF(D28="","",IF(D28="J",Notes!$B$2,Notes!$B$2*Notes!$B$3/(D28+Notes!$B$3)))</f>
        <v/>
      </c>
      <c r="L28" s="4">
        <f>IF(E28="","",IF(E28="J",Notes!$B$2,Notes!$B$2*Notes!$B$3/(E28+Notes!$B$3)))</f>
        <v/>
      </c>
      <c r="M28" s="4">
        <f>IF(F28="","",IF(F28="J",Notes!$B$2,Notes!$B$2*Notes!$B$3/(F28+Notes!$B$3)))</f>
        <v/>
      </c>
      <c r="N28" s="4">
        <f>IF(G28="","",IF(G28="J",Notes!$B$2,Notes!$B$2*Notes!$B$3/(G28+Notes!$B$3)))</f>
        <v/>
      </c>
      <c r="O28" s="4">
        <f>IF(H28="","",IF(H28="J",Notes!$B$2,Notes!$B$2*Notes!$B$3/(H28+Notes!$B$3)))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2026-10-09T18:18:02Z</dcterms:created>
  <dcterms:modified xmlns:dcterms="http://purl.org/dc/terms/" xmlns:xsi="http://www.w3.org/2001/XMLSchema-instance" xsi:type="dcterms:W3CDTF">2026-10-09T18:18:02Z</dcterms:modified>
</cp:coreProperties>
</file>